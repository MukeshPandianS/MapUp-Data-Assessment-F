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AA26025D-2828-4B0A-8AF5-8A47928494E7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">Dataset!$1:$1048576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1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E26" i="20"/>
  <c r="E27" i="20"/>
  <c r="E28" i="20"/>
  <c r="E29" i="20"/>
  <c r="E30" i="20"/>
  <c r="E31" i="20"/>
  <c r="E32" i="20"/>
  <c r="E33" i="20"/>
  <c r="E34" i="20"/>
  <c r="E35" i="20"/>
  <c r="E24" i="20"/>
  <c r="E25" i="20"/>
  <c r="F23" i="20"/>
  <c r="E23" i="20"/>
  <c r="C22" i="19" a="1"/>
  <c r="C22" i="19" s="1"/>
  <c r="C6" i="18"/>
  <c r="D6" i="18"/>
  <c r="D30" i="18" s="1"/>
  <c r="E6" i="18"/>
  <c r="F6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28" i="18" s="1"/>
  <c r="B29" i="18" l="1"/>
  <c r="C29" i="18"/>
  <c r="C28" i="18"/>
  <c r="F30" i="18"/>
  <c r="F29" i="18"/>
  <c r="F28" i="18"/>
  <c r="E30" i="18"/>
  <c r="D28" i="18"/>
  <c r="D29" i="18"/>
  <c r="E28" i="18"/>
  <c r="B30" i="18"/>
  <c r="C30" i="18"/>
  <c r="E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<sst xmlns="http://schemas.openxmlformats.org/spreadsheetml/2006/main" count="409" uniqueCount="186">
  <si>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</si>
  <si>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</si>
  <si>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</si>
  <si>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</si>
  <si>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</si>
  <si>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</si>
  <si>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</si>
  <si>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</si>
  <si>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</si>
  <si>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</si>
  <si>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</si>
  <si>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</si>
  <si>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</si>
  <si>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</si>
  <si>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</si>
  <si>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</si>
  <si>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</si>
  <si>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</si>
  <si>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</si>
  <si>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</si>
  <si>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</si>
  <si>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</si>
  <si>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</si>
  <si>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</si>
  <si>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</si>
  <si>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</si>
  <si>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</si>
  <si>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</si>
  <si>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</si>
  <si>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</si>
  <si>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</si>
  <si>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</si>
  <si>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</si>
  <si>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</si>
  <si>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</si>
  <si>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</si>
  <si>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</si>
  <si>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</si>
  <si>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</si>
  <si>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</si>
  <si>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</si>
  <si>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</si>
  <si>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</si>
  <si>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</si>
  <si>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</si>
  <si>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</si>
  <si>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</si>
  <si>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</si>
  <si>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</si>
  <si>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</si>
  <si>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</si>
  <si>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</si>
  <si>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</si>
  <si>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</si>
  <si>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</si>
  <si>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</si>
  <si>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</si>
  <si>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</si>
  <si>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</si>
  <si>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</si>
  <si>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</si>
  <si>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</si>
  <si>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</si>
  <si>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</si>
  <si>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</si>
  <si>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</si>
  <si>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</si>
  <si>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</si>
  <si>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</si>
  <si>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</si>
  <si>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</si>
  <si>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</si>
  <si>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</si>
  <si>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</si>
  <si>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</si>
  <si>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</si>
  <si>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</si>
  <si>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</si>
  <si>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</si>
  <si>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</si>
  <si>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</si>
  <si>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</si>
  <si>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</si>
  <si>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</si>
  <si>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</si>
  <si>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</si>
  <si>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</si>
  <si>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</si>
  <si>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</si>
  <si>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</si>
  <si>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</si>
  <si>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</si>
  <si>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</si>
  <si>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</si>
  <si>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</si>
  <si>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</si>
  <si>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</si>
  <si>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</si>
  <si>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</si>
  <si>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</si>
  <si>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</si>
  <si>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</si>
  <si>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</si>
  <si>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</si>
  <si>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</si>
  <si>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</si>
  <si>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</si>
  <si>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</si>
  <si>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</si>
  <si>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</si>
  <si>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</si>
  <si>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</si>
  <si>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</si>
  <si>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</si>
  <si>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</si>
  <si>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</si>
  <si>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</si>
  <si>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</si>
  <si>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</si>
  <si>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</si>
  <si>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</si>
  <si>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</si>
  <si>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</si>
  <si>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</si>
  <si>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</si>
  <si>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</si>
  <si>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</si>
  <si>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</si>
  <si>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</si>
  <si>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</si>
  <si>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</si>
  <si>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</si>
  <si>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</si>
  <si>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</si>
  <si>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</si>
  <si>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</si>
  <si>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</si>
  <si>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</si>
  <si>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</si>
  <si>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</si>
  <si>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</si>
  <si>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</si>
  <si>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</si>
  <si>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</si>
  <si>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</si>
  <si>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</si>
  <si>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</si>
  <si>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</si>
  <si>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</si>
  <si>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</si>
  <si>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</si>
  <si>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</si>
  <si>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</si>
  <si>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</si>
  <si>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</si>
  <si>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</si>
  <si>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</si>
  <si>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</si>
  <si>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</si>
  <si>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</si>
  <si>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</si>
  <si>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</si>
  <si>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</si>
  <si>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</si>
  <si>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</si>
  <si>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</si>
  <si>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</si>
  <si>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</si>
  <si>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</si>
  <si>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</si>
  <si>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</si>
  <si>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</si>
  <si>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</si>
  <si>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</si>
  <si>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</si>
  <si>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</si>
  <si>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</si>
  <si>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=VLOOKUP(E23,$A$10:$J$18,MATCH(F23,$A$9:$J$9,0))</t>
  </si>
  <si>
    <t>=SUMIF(H2:H40,"&gt;20")</t>
  </si>
  <si>
    <t>I used the text to columns function from data tab to split up the given input.</t>
  </si>
  <si>
    <t>Upon selecting the text to column, changed the delimiter to hyphen then clicked ok. The output is derived.</t>
  </si>
  <si>
    <t>Formula : =SUM(IFNA(C12:C21),20))</t>
  </si>
  <si>
    <t>IFNA, substitues the error with 20. Then upon adding the sum function to the formula. The sum of column is obtained.</t>
  </si>
  <si>
    <t>value_of_name_1</t>
  </si>
  <si>
    <t>value_of_name_2</t>
  </si>
  <si>
    <t>Used vlookup to extract the values of name_1 and name_2. Then again used vlookup and match to obtain the results.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</si>
</sst>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yyyy/mm/dd"/>
    <numFmt numFmtId="167" formatCode="0.0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0" xfId="0" quotePrefix="1" applyFont="1"/>
    <xf numFmtId="166" fontId="3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3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5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3" activePane="bottomLeft" state="frozen"/>
      <selection activeCell="N1" sqref="N1"/>
      <selection pane="bottomLeft" activeCell="H42" sqref="H4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 x14ac:dyDescent="0.35">
      <c r="H42" s="43">
        <f>SUMIF(H2:H40,"&gt;20")</f>
        <v>1473.0000000000002</v>
      </c>
    </row>
  </sheetData>
  <conditionalFormatting sqref="A1:A1048576">
    <cfRule type="duplicateValues" dxfId="3" priority="9"/>
  </conditionalFormatting>
  <conditionalFormatting sqref="B1:B1048576">
    <cfRule type="duplicateValues" dxfId="2" priority="8"/>
  </conditionalFormatting>
  <conditionalFormatting sqref="A1:XFD1048576">
    <cfRule type="expression" dxfId="1" priority="5">
      <formula>A1=-1</formula>
    </cfRule>
  </conditionalFormatting>
  <conditionalFormatting sqref="A1:X40">
    <cfRule type="expression" dxfId="0" priority="1">
      <formula>AND(ISNUMBER(A1), A1=0)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1" t="s">
        <v>178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0" zoomScaleNormal="100" workbookViewId="0">
      <selection activeCell="B33" sqref="B3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8" customFormat="1" ht="21" x14ac:dyDescent="0.5">
      <c r="A1" s="39" t="s">
        <v>55</v>
      </c>
      <c r="B1" s="38" t="s">
        <v>164</v>
      </c>
    </row>
    <row r="2" spans="1:7" s="38" customFormat="1" ht="21" x14ac:dyDescent="0.5">
      <c r="B2" s="38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IFERROR(VLOOKUP($A6, Dataset!$A:$Z, MATCH(B$5, Dataset!$1:$1, 0), FALSE), "")</f>
        <v>2.7</v>
      </c>
      <c r="C6" s="11">
        <f>IFERROR(VLOOKUP($A6, Dataset!$A:$Z, MATCH(C$5, Dataset!$1:$1, 0), FALSE), "")</f>
        <v>7.6</v>
      </c>
      <c r="D6" s="11">
        <f>IFERROR(VLOOKUP($A6, Dataset!$A:$Z, MATCH(D$5, Dataset!$1:$1, 0), FALSE), "")</f>
        <v>4.2</v>
      </c>
      <c r="E6" s="11">
        <f>IFERROR(VLOOKUP($A6, Dataset!$A:$Z, MATCH(E$5, Dataset!$1:$1, 0), FALSE), "")</f>
        <v>8.9</v>
      </c>
      <c r="F6" s="11">
        <f>IFERROR(VLOOKUP($A6, Dataset!$A:$Z, MATCH(F$5, Dataset!$1:$1, 0), FALSE), "")</f>
        <v>4.2</v>
      </c>
    </row>
    <row r="7" spans="1:7" ht="14.5" x14ac:dyDescent="0.35">
      <c r="A7" s="7" t="s">
        <v>4</v>
      </c>
      <c r="B7" s="11">
        <f>IFERROR(VLOOKUP($A7, Dataset!$A:$Z, MATCH(B$5, Dataset!$1:$1, 0), FALSE), "")</f>
        <v>2.7</v>
      </c>
      <c r="C7" s="11">
        <f>IFERROR(VLOOKUP($A7, Dataset!$A:$Z, MATCH(C$5, Dataset!$1:$1, 0), FALSE), "")</f>
        <v>7.6</v>
      </c>
      <c r="D7" s="11">
        <f>IFERROR(VLOOKUP($A7, Dataset!$A:$Z, MATCH(D$5, Dataset!$1:$1, 0), FALSE), "")</f>
        <v>4.2</v>
      </c>
      <c r="E7" s="11">
        <f>IFERROR(VLOOKUP($A7, Dataset!$A:$Z, MATCH(E$5, Dataset!$1:$1, 0), FALSE), "")</f>
        <v>8.9</v>
      </c>
      <c r="F7" s="11">
        <f>IFERROR(VLOOKUP($A7, Dataset!$A:$Z, MATCH(F$5, Dataset!$1:$1, 0), FALSE), "")</f>
        <v>4.2</v>
      </c>
    </row>
    <row r="8" spans="1:7" ht="14.5" x14ac:dyDescent="0.35">
      <c r="A8" s="7" t="s">
        <v>7</v>
      </c>
      <c r="B8" s="11">
        <f>IFERROR(VLOOKUP($A8, Dataset!$A:$Z, MATCH(B$5, Dataset!$1:$1, 0), FALSE), "")</f>
        <v>3.6</v>
      </c>
      <c r="C8" s="11">
        <f>IFERROR(VLOOKUP($A8, Dataset!$A:$Z, MATCH(C$5, Dataset!$1:$1, 0), FALSE), "")</f>
        <v>11.1</v>
      </c>
      <c r="D8" s="11">
        <f>IFERROR(VLOOKUP($A8, Dataset!$A:$Z, MATCH(D$5, Dataset!$1:$1, 0), FALSE), "")</f>
        <v>5.8</v>
      </c>
      <c r="E8" s="11">
        <f>IFERROR(VLOOKUP($A8, Dataset!$A:$Z, MATCH(E$5, Dataset!$1:$1, 0), FALSE), "")</f>
        <v>12.2</v>
      </c>
      <c r="F8" s="11">
        <f>IFERROR(VLOOKUP($A8, Dataset!$A:$Z, MATCH(F$5, Dataset!$1:$1, 0), FALSE), "")</f>
        <v>5.8</v>
      </c>
    </row>
    <row r="9" spans="1:7" ht="14.5" x14ac:dyDescent="0.35">
      <c r="A9" s="7" t="s">
        <v>8</v>
      </c>
      <c r="B9" s="11">
        <f>IFERROR(VLOOKUP($A9, Dataset!$A:$Z, MATCH(B$5, Dataset!$1:$1, 0), FALSE), "")</f>
        <v>4.9000000000000004</v>
      </c>
      <c r="C9" s="11">
        <f>IFERROR(VLOOKUP($A9, Dataset!$A:$Z, MATCH(C$5, Dataset!$1:$1, 0), FALSE), "")</f>
        <v>13.3</v>
      </c>
      <c r="D9" s="11">
        <f>IFERROR(VLOOKUP($A9, Dataset!$A:$Z, MATCH(D$5, Dataset!$1:$1, 0), FALSE), "")</f>
        <v>8.1</v>
      </c>
      <c r="E9" s="11">
        <f>IFERROR(VLOOKUP($A9, Dataset!$A:$Z, MATCH(E$5, Dataset!$1:$1, 0), FALSE), "")</f>
        <v>17</v>
      </c>
      <c r="F9" s="11">
        <f>IFERROR(VLOOKUP($A9, Dataset!$A:$Z, MATCH(F$5, Dataset!$1:$1, 0), FALSE), "")</f>
        <v>8.1</v>
      </c>
    </row>
    <row r="10" spans="1:7" ht="14.5" x14ac:dyDescent="0.35">
      <c r="A10" s="7" t="s">
        <v>11</v>
      </c>
      <c r="B10" s="11">
        <f>IFERROR(VLOOKUP($A10, Dataset!$A:$Z, MATCH(B$5, Dataset!$1:$1, 0), FALSE), "")</f>
        <v>9.4</v>
      </c>
      <c r="C10" s="11">
        <f>IFERROR(VLOOKUP($A10, Dataset!$A:$Z, MATCH(C$5, Dataset!$1:$1, 0), FALSE), "")</f>
        <v>28.3</v>
      </c>
      <c r="D10" s="11">
        <f>IFERROR(VLOOKUP($A10, Dataset!$A:$Z, MATCH(D$5, Dataset!$1:$1, 0), FALSE), "")</f>
        <v>16.100000000000001</v>
      </c>
      <c r="E10" s="11">
        <f>IFERROR(VLOOKUP($A10, Dataset!$A:$Z, MATCH(E$5, Dataset!$1:$1, 0), FALSE), "")</f>
        <v>32.799999999999997</v>
      </c>
      <c r="F10" s="11">
        <f>IFERROR(VLOOKUP($A10, Dataset!$A:$Z, MATCH(F$5, Dataset!$1:$1, 0), FALSE), "")</f>
        <v>16.100000000000001</v>
      </c>
    </row>
    <row r="11" spans="1:7" ht="14.5" x14ac:dyDescent="0.35">
      <c r="A11" s="7" t="s">
        <v>12</v>
      </c>
      <c r="B11" s="11">
        <f>IFERROR(VLOOKUP($A11, Dataset!$A:$Z, MATCH(B$5, Dataset!$1:$1, 0), FALSE), "")</f>
        <v>11.6</v>
      </c>
      <c r="C11" s="11">
        <f>IFERROR(VLOOKUP($A11, Dataset!$A:$Z, MATCH(C$5, Dataset!$1:$1, 0), FALSE), "")</f>
        <v>35.200000000000003</v>
      </c>
      <c r="D11" s="11">
        <f>IFERROR(VLOOKUP($A11, Dataset!$A:$Z, MATCH(D$5, Dataset!$1:$1, 0), FALSE), "")</f>
        <v>21.3</v>
      </c>
      <c r="E11" s="11">
        <f>IFERROR(VLOOKUP($A11, Dataset!$A:$Z, MATCH(E$5, Dataset!$1:$1, 0), FALSE), "")</f>
        <v>43</v>
      </c>
      <c r="F11" s="11">
        <f>IFERROR(VLOOKUP($A11, Dataset!$A:$Z, MATCH(F$5, Dataset!$1:$1, 0), FALSE), "")</f>
        <v>21.3</v>
      </c>
    </row>
    <row r="12" spans="1:7" ht="14.5" x14ac:dyDescent="0.35">
      <c r="A12" s="7" t="s">
        <v>14</v>
      </c>
      <c r="B12" s="11">
        <f>IFERROR(VLOOKUP($A12, Dataset!$A:$Z, MATCH(B$5, Dataset!$1:$1, 0), FALSE), "")</f>
        <v>18.399999999999999</v>
      </c>
      <c r="C12" s="11">
        <f>IFERROR(VLOOKUP($A12, Dataset!$A:$Z, MATCH(C$5, Dataset!$1:$1, 0), FALSE), "")</f>
        <v>55.6</v>
      </c>
      <c r="D12" s="11">
        <f>IFERROR(VLOOKUP($A12, Dataset!$A:$Z, MATCH(D$5, Dataset!$1:$1, 0), FALSE), "")</f>
        <v>33.799999999999997</v>
      </c>
      <c r="E12" s="11">
        <f>IFERROR(VLOOKUP($A12, Dataset!$A:$Z, MATCH(E$5, Dataset!$1:$1, 0), FALSE), "")</f>
        <v>67.900000000000006</v>
      </c>
      <c r="F12" s="11">
        <f>IFERROR(VLOOKUP($A12, Dataset!$A:$Z, MATCH(F$5, Dataset!$1:$1, 0), FALSE), "")</f>
        <v>33.799999999999997</v>
      </c>
    </row>
    <row r="13" spans="1:7" ht="14.5" x14ac:dyDescent="0.35">
      <c r="A13" s="7" t="s">
        <v>15</v>
      </c>
      <c r="B13" s="11">
        <f>IFERROR(VLOOKUP($A13, Dataset!$A:$Z, MATCH(B$5, Dataset!$1:$1, 0), FALSE), "")</f>
        <v>0</v>
      </c>
      <c r="C13" s="11">
        <f>IFERROR(VLOOKUP($A13, Dataset!$A:$Z, MATCH(C$5, Dataset!$1:$1, 0), FALSE), "")</f>
        <v>0</v>
      </c>
      <c r="D13" s="11">
        <f>IFERROR(VLOOKUP($A13, Dataset!$A:$Z, MATCH(D$5, Dataset!$1:$1, 0), FALSE), "")</f>
        <v>0</v>
      </c>
      <c r="E13" s="11">
        <f>IFERROR(VLOOKUP($A13, Dataset!$A:$Z, MATCH(E$5, Dataset!$1:$1, 0), FALSE), "")</f>
        <v>0</v>
      </c>
      <c r="F13" s="11">
        <f>IFERROR(VLOOKUP($A13, Dataset!$A:$Z, MATCH(F$5, Dataset!$1:$1, 0), FALSE), "")</f>
        <v>0</v>
      </c>
    </row>
    <row r="14" spans="1:7" ht="14.5" x14ac:dyDescent="0.35">
      <c r="A14" s="7" t="s">
        <v>16</v>
      </c>
      <c r="B14" s="11">
        <f>IFERROR(VLOOKUP($A14, Dataset!$A:$Z, MATCH(B$5, Dataset!$1:$1, 0), FALSE), "")</f>
        <v>21.9</v>
      </c>
      <c r="C14" s="11">
        <f>IFERROR(VLOOKUP($A14, Dataset!$A:$Z, MATCH(C$5, Dataset!$1:$1, 0), FALSE), "")</f>
        <v>61.5</v>
      </c>
      <c r="D14" s="11">
        <f>IFERROR(VLOOKUP($A14, Dataset!$A:$Z, MATCH(D$5, Dataset!$1:$1, 0), FALSE), "")</f>
        <v>40.1</v>
      </c>
      <c r="E14" s="11">
        <f>IFERROR(VLOOKUP($A14, Dataset!$A:$Z, MATCH(E$5, Dataset!$1:$1, 0), FALSE), "")</f>
        <v>76.599999999999994</v>
      </c>
      <c r="F14" s="11">
        <f>IFERROR(VLOOKUP($A14, Dataset!$A:$Z, MATCH(F$5, Dataset!$1:$1, 0), FALSE), "")</f>
        <v>40.1</v>
      </c>
    </row>
    <row r="15" spans="1:7" ht="14.5" x14ac:dyDescent="0.35">
      <c r="A15" s="7" t="s">
        <v>18</v>
      </c>
      <c r="B15" s="11">
        <f>IFERROR(VLOOKUP($A15, Dataset!$A:$Z, MATCH(B$5, Dataset!$1:$1, 0), FALSE), "")</f>
        <v>26.8</v>
      </c>
      <c r="C15" s="11">
        <f>IFERROR(VLOOKUP($A15, Dataset!$A:$Z, MATCH(C$5, Dataset!$1:$1, 0), FALSE), "")</f>
        <v>79.599999999999994</v>
      </c>
      <c r="D15" s="11">
        <f>IFERROR(VLOOKUP($A15, Dataset!$A:$Z, MATCH(D$5, Dataset!$1:$1, 0), FALSE), "")</f>
        <v>47.9</v>
      </c>
      <c r="E15" s="11">
        <f>IFERROR(VLOOKUP($A15, Dataset!$A:$Z, MATCH(E$5, Dataset!$1:$1, 0), FALSE), "")</f>
        <v>96.8</v>
      </c>
      <c r="F15" s="11">
        <f>IFERROR(VLOOKUP($A15, Dataset!$A:$Z, MATCH(F$5, Dataset!$1:$1, 0), FALSE), "")</f>
        <v>47.9</v>
      </c>
    </row>
    <row r="16" spans="1:7" ht="14.5" x14ac:dyDescent="0.35">
      <c r="A16" s="7" t="s">
        <v>20</v>
      </c>
      <c r="B16" s="11">
        <f>IFERROR(VLOOKUP($A16, Dataset!$A:$Z, MATCH(B$5, Dataset!$1:$1, 0), FALSE), "")</f>
        <v>28.5</v>
      </c>
      <c r="C16" s="11">
        <f>IFERROR(VLOOKUP($A16, Dataset!$A:$Z, MATCH(C$5, Dataset!$1:$1, 0), FALSE), "")</f>
        <v>85.4</v>
      </c>
      <c r="D16" s="11">
        <f>IFERROR(VLOOKUP($A16, Dataset!$A:$Z, MATCH(D$5, Dataset!$1:$1, 0), FALSE), "")</f>
        <v>52.3</v>
      </c>
      <c r="E16" s="11">
        <f>IFERROR(VLOOKUP($A16, Dataset!$A:$Z, MATCH(E$5, Dataset!$1:$1, 0), FALSE), "")</f>
        <v>106.1</v>
      </c>
      <c r="F16" s="11">
        <f>IFERROR(VLOOKUP($A16, Dataset!$A:$Z, MATCH(F$5, Dataset!$1:$1, 0), FALSE), "")</f>
        <v>52.3</v>
      </c>
    </row>
    <row r="17" spans="1:6" ht="14.5" x14ac:dyDescent="0.35">
      <c r="A17" s="7" t="s">
        <v>22</v>
      </c>
      <c r="B17" s="11">
        <f>IFERROR(VLOOKUP($A17, Dataset!$A:$Z, MATCH(B$5, Dataset!$1:$1, 0), FALSE), "")</f>
        <v>30.7</v>
      </c>
      <c r="C17" s="11">
        <f>IFERROR(VLOOKUP($A17, Dataset!$A:$Z, MATCH(C$5, Dataset!$1:$1, 0), FALSE), "")</f>
        <v>92.1</v>
      </c>
      <c r="D17" s="11">
        <f>IFERROR(VLOOKUP($A17, Dataset!$A:$Z, MATCH(D$5, Dataset!$1:$1, 0), FALSE), "")</f>
        <v>57</v>
      </c>
      <c r="E17" s="11">
        <f>IFERROR(VLOOKUP($A17, Dataset!$A:$Z, MATCH(E$5, Dataset!$1:$1, 0), FALSE), "")</f>
        <v>115.1</v>
      </c>
      <c r="F17" s="11">
        <f>IFERROR(VLOOKUP($A17, Dataset!$A:$Z, MATCH(F$5, Dataset!$1:$1, 0), FALSE), "")</f>
        <v>57</v>
      </c>
    </row>
    <row r="18" spans="1:6" ht="14.5" x14ac:dyDescent="0.35">
      <c r="A18" s="7" t="s">
        <v>23</v>
      </c>
      <c r="B18" s="11">
        <f>IFERROR(VLOOKUP($A18, Dataset!$A:$Z, MATCH(B$5, Dataset!$1:$1, 0), FALSE), "")</f>
        <v>33.799999999999997</v>
      </c>
      <c r="C18" s="11">
        <f>IFERROR(VLOOKUP($A18, Dataset!$A:$Z, MATCH(C$5, Dataset!$1:$1, 0), FALSE), "")</f>
        <v>101.3</v>
      </c>
      <c r="D18" s="11">
        <f>IFERROR(VLOOKUP($A18, Dataset!$A:$Z, MATCH(D$5, Dataset!$1:$1, 0), FALSE), "")</f>
        <v>61.4</v>
      </c>
      <c r="E18" s="11">
        <f>IFERROR(VLOOKUP($A18, Dataset!$A:$Z, MATCH(E$5, Dataset!$1:$1, 0), FALSE), "")</f>
        <v>124.4</v>
      </c>
      <c r="F18" s="11">
        <f>IFERROR(VLOOKUP($A18, Dataset!$A:$Z, MATCH(F$5, Dataset!$1:$1, 0), FALSE), "")</f>
        <v>61.4</v>
      </c>
    </row>
    <row r="19" spans="1:6" ht="14.5" x14ac:dyDescent="0.35">
      <c r="A19" s="7" t="s">
        <v>24</v>
      </c>
      <c r="B19" s="11">
        <f>IFERROR(VLOOKUP($A19, Dataset!$A:$Z, MATCH(B$5, Dataset!$1:$1, 0), FALSE), "")</f>
        <v>34.700000000000003</v>
      </c>
      <c r="C19" s="11">
        <f>IFERROR(VLOOKUP($A19, Dataset!$A:$Z, MATCH(C$5, Dataset!$1:$1, 0), FALSE), "")</f>
        <v>106.1</v>
      </c>
      <c r="D19" s="11">
        <f>IFERROR(VLOOKUP($A19, Dataset!$A:$Z, MATCH(D$5, Dataset!$1:$1, 0), FALSE), "")</f>
        <v>63.6</v>
      </c>
      <c r="E19" s="11">
        <f>IFERROR(VLOOKUP($A19, Dataset!$A:$Z, MATCH(E$5, Dataset!$1:$1, 0), FALSE), "")</f>
        <v>128.6</v>
      </c>
      <c r="F19" s="11">
        <f>IFERROR(VLOOKUP($A19, Dataset!$A:$Z, MATCH(F$5, Dataset!$1:$1, 0), FALSE), "")</f>
        <v>63.6</v>
      </c>
    </row>
    <row r="20" spans="1:6" ht="14.5" x14ac:dyDescent="0.35">
      <c r="A20" s="7" t="s">
        <v>28</v>
      </c>
      <c r="B20" s="11">
        <f>IFERROR(VLOOKUP($A20, Dataset!$A:$Z, MATCH(B$5, Dataset!$1:$1, 0), FALSE), "")</f>
        <v>0</v>
      </c>
      <c r="C20" s="11">
        <f>IFERROR(VLOOKUP($A20, Dataset!$A:$Z, MATCH(C$5, Dataset!$1:$1, 0), FALSE), "")</f>
        <v>0</v>
      </c>
      <c r="D20" s="11">
        <f>IFERROR(VLOOKUP($A20, Dataset!$A:$Z, MATCH(D$5, Dataset!$1:$1, 0), FALSE), "")</f>
        <v>0</v>
      </c>
      <c r="E20" s="11">
        <f>IFERROR(VLOOKUP($A20, Dataset!$A:$Z, MATCH(E$5, Dataset!$1:$1, 0), FALSE), "")</f>
        <v>0</v>
      </c>
      <c r="F20" s="11">
        <f>IFERROR(VLOOKUP($A20, Dataset!$A:$Z, MATCH(F$5, Dataset!$1:$1, 0), FALSE), "")</f>
        <v>0</v>
      </c>
    </row>
    <row r="21" spans="1:6" ht="14.5" x14ac:dyDescent="0.35">
      <c r="A21" s="7" t="s">
        <v>57</v>
      </c>
      <c r="B21" s="11">
        <f>IFERROR(VLOOKUP($A21, Dataset!$A:$Z, MATCH(B$5, Dataset!$1:$1, 0), FALSE), "")</f>
        <v>41.3</v>
      </c>
      <c r="C21" s="11">
        <f>IFERROR(VLOOKUP($A21, Dataset!$A:$Z, MATCH(C$5, Dataset!$1:$1, 0), FALSE), "")</f>
        <v>124.4</v>
      </c>
      <c r="D21" s="11">
        <f>IFERROR(VLOOKUP($A21, Dataset!$A:$Z, MATCH(D$5, Dataset!$1:$1, 0), FALSE), "")</f>
        <v>75</v>
      </c>
      <c r="E21" s="11">
        <f>IFERROR(VLOOKUP($A21, Dataset!$A:$Z, MATCH(E$5, Dataset!$1:$1, 0), FALSE), "")</f>
        <v>151.5</v>
      </c>
      <c r="F21" s="11">
        <f>IFERROR(VLOOKUP($A21, Dataset!$A:$Z, MATCH(F$5, Dataset!$1:$1, 0), FALSE), "")</f>
        <v>75</v>
      </c>
    </row>
    <row r="22" spans="1:6" ht="14.5" x14ac:dyDescent="0.35">
      <c r="A22" s="7" t="s">
        <v>58</v>
      </c>
      <c r="B22" s="11">
        <f>IFERROR(VLOOKUP($A22, Dataset!$A:$Z, MATCH(B$5, Dataset!$1:$1, 0), FALSE), "")</f>
        <v>-1</v>
      </c>
      <c r="C22" s="11">
        <f>IFERROR(VLOOKUP($A22, Dataset!$A:$Z, MATCH(C$5, Dataset!$1:$1, 0), FALSE), "")</f>
        <v>-1</v>
      </c>
      <c r="D22" s="11">
        <f>IFERROR(VLOOKUP($A22, Dataset!$A:$Z, MATCH(D$5, Dataset!$1:$1, 0), FALSE), "")</f>
        <v>-1</v>
      </c>
      <c r="E22" s="11">
        <f>IFERROR(VLOOKUP($A22, Dataset!$A:$Z, MATCH(E$5, Dataset!$1:$1, 0), FALSE), "")</f>
        <v>-1</v>
      </c>
      <c r="F22" s="11">
        <f>IFERROR(VLOOKUP($A22, Dataset!$A:$Z, MATCH(F$5, Dataset!$1:$1, 0), FALSE), "")</f>
        <v>-1</v>
      </c>
    </row>
    <row r="23" spans="1:6" ht="14.5" x14ac:dyDescent="0.35">
      <c r="A23" s="7" t="s">
        <v>31</v>
      </c>
      <c r="B23" s="11">
        <f>IFERROR(VLOOKUP($A23, Dataset!$A:$Z, MATCH(B$5, Dataset!$1:$1, 0), FALSE), "")</f>
        <v>45</v>
      </c>
      <c r="C23" s="11">
        <f>IFERROR(VLOOKUP($A23, Dataset!$A:$Z, MATCH(C$5, Dataset!$1:$1, 0), FALSE), "")</f>
        <v>133.4</v>
      </c>
      <c r="D23" s="11">
        <f>IFERROR(VLOOKUP($A23, Dataset!$A:$Z, MATCH(D$5, Dataset!$1:$1, 0), FALSE), "")</f>
        <v>79.400000000000006</v>
      </c>
      <c r="E23" s="11">
        <f>IFERROR(VLOOKUP($A23, Dataset!$A:$Z, MATCH(E$5, Dataset!$1:$1, 0), FALSE), "")</f>
        <v>160.9</v>
      </c>
      <c r="F23" s="11">
        <f>IFERROR(VLOOKUP($A23, Dataset!$A:$Z, MATCH(F$5, Dataset!$1:$1, 0), FALSE), "")</f>
        <v>79.400000000000006</v>
      </c>
    </row>
    <row r="24" spans="1:6" ht="14.5" x14ac:dyDescent="0.35">
      <c r="A24" s="7" t="s">
        <v>32</v>
      </c>
      <c r="B24" s="11">
        <f>IFERROR(VLOOKUP($A24, Dataset!$A:$Z, MATCH(B$5, Dataset!$1:$1, 0), FALSE), "")</f>
        <v>-1</v>
      </c>
      <c r="C24" s="11">
        <f>IFERROR(VLOOKUP($A24, Dataset!$A:$Z, MATCH(C$5, Dataset!$1:$1, 0), FALSE), "")</f>
        <v>-1</v>
      </c>
      <c r="D24" s="11">
        <f>IFERROR(VLOOKUP($A24, Dataset!$A:$Z, MATCH(D$5, Dataset!$1:$1, 0), FALSE), "")</f>
        <v>-1</v>
      </c>
      <c r="E24" s="11">
        <f>IFERROR(VLOOKUP($A24, Dataset!$A:$Z, MATCH(E$5, Dataset!$1:$1, 0), FALSE), "")</f>
        <v>-1</v>
      </c>
      <c r="F24" s="11">
        <f>IFERROR(VLOOKUP($A24, Dataset!$A:$Z, MATCH(F$5, Dataset!$1:$1, 0), FALSE), "")</f>
        <v>-1</v>
      </c>
    </row>
    <row r="25" spans="1:6" ht="14.5" x14ac:dyDescent="0.35">
      <c r="A25" s="7" t="s">
        <v>34</v>
      </c>
      <c r="B25" s="11">
        <f>IFERROR(VLOOKUP($A25, Dataset!$A:$Z, MATCH(B$5, Dataset!$1:$1, 0), FALSE), "")</f>
        <v>43.3</v>
      </c>
      <c r="C25" s="11">
        <f>IFERROR(VLOOKUP($A25, Dataset!$A:$Z, MATCH(C$5, Dataset!$1:$1, 0), FALSE), "")</f>
        <v>128.6</v>
      </c>
      <c r="D25" s="11">
        <f>IFERROR(VLOOKUP($A25, Dataset!$A:$Z, MATCH(D$5, Dataset!$1:$1, 0), FALSE), "")</f>
        <v>79.400000000000006</v>
      </c>
      <c r="E25" s="11">
        <f>IFERROR(VLOOKUP($A25, Dataset!$A:$Z, MATCH(E$5, Dataset!$1:$1, 0), FALSE), "")</f>
        <v>160.9</v>
      </c>
      <c r="F25" s="11">
        <f>IFERROR(VLOOKUP($A25, Dataset!$A:$Z, MATCH(F$5, Dataset!$1:$1, 0), FALSE), "")</f>
        <v>79.400000000000006</v>
      </c>
    </row>
    <row r="26" spans="1:6" ht="14.5" x14ac:dyDescent="0.35">
      <c r="A26" s="7" t="s">
        <v>37</v>
      </c>
      <c r="B26" s="11">
        <f>IFERROR(VLOOKUP($A26, Dataset!$A:$Z, MATCH(B$5, Dataset!$1:$1, 0), FALSE), "")</f>
        <v>49.1</v>
      </c>
      <c r="C26" s="11">
        <f>IFERROR(VLOOKUP($A26, Dataset!$A:$Z, MATCH(C$5, Dataset!$1:$1, 0), FALSE), "")</f>
        <v>146.80000000000001</v>
      </c>
      <c r="D26" s="11">
        <f>IFERROR(VLOOKUP($A26, Dataset!$A:$Z, MATCH(D$5, Dataset!$1:$1, 0), FALSE), "")</f>
        <v>90.9</v>
      </c>
      <c r="E26" s="11">
        <f>IFERROR(VLOOKUP($A26, Dataset!$A:$Z, MATCH(E$5, Dataset!$1:$1, 0), FALSE), "")</f>
        <v>183.5</v>
      </c>
      <c r="F26" s="11">
        <f>IFERROR(VLOOKUP($A26, Dataset!$A:$Z, MATCH(F$5, Dataset!$1:$1, 0), FALSE), "")</f>
        <v>90.9</v>
      </c>
    </row>
    <row r="27" spans="1:6" ht="14.5" x14ac:dyDescent="0.35">
      <c r="A27" s="7" t="s">
        <v>39</v>
      </c>
      <c r="B27" s="11">
        <f>IFERROR(VLOOKUP($A27, Dataset!$A:$Z, MATCH(B$5, Dataset!$1:$1, 0), FALSE), "")</f>
        <v>51.8</v>
      </c>
      <c r="C27" s="11">
        <f>IFERROR(VLOOKUP($A27, Dataset!$A:$Z, MATCH(C$5, Dataset!$1:$1, 0), FALSE), "")</f>
        <v>156.4</v>
      </c>
      <c r="D27" s="11">
        <f>IFERROR(VLOOKUP($A27, Dataset!$A:$Z, MATCH(D$5, Dataset!$1:$1, 0), FALSE), "")</f>
        <v>93.1</v>
      </c>
      <c r="E27" s="11">
        <f>IFERROR(VLOOKUP($A27, Dataset!$A:$Z, MATCH(E$5, Dataset!$1:$1, 0), FALSE), "")</f>
        <v>188.1</v>
      </c>
      <c r="F27" s="11">
        <f>IFERROR(VLOOKUP($A27, Dataset!$A:$Z, MATCH(F$5, Dataset!$1:$1, 0), FALSE), "")</f>
        <v>93.1</v>
      </c>
    </row>
    <row r="28" spans="1:6" ht="14.5" x14ac:dyDescent="0.35">
      <c r="A28" s="18" t="s">
        <v>82</v>
      </c>
      <c r="B28" s="16">
        <f>MIN(B6:B27)</f>
        <v>-1</v>
      </c>
      <c r="C28" s="16">
        <f t="shared" ref="C28:F28" si="0">MIN(C6:C27)</f>
        <v>-1</v>
      </c>
      <c r="D28" s="16">
        <f t="shared" si="0"/>
        <v>-1</v>
      </c>
      <c r="E28" s="16">
        <f t="shared" si="0"/>
        <v>-1</v>
      </c>
      <c r="F28" s="16">
        <f t="shared" si="0"/>
        <v>-1</v>
      </c>
    </row>
    <row r="29" spans="1:6" ht="14.5" x14ac:dyDescent="0.35">
      <c r="A29" s="18" t="s">
        <v>83</v>
      </c>
      <c r="B29" s="16">
        <f>MAX(B6:B27)</f>
        <v>51.8</v>
      </c>
      <c r="C29" s="16">
        <f t="shared" ref="C29:F29" si="1">MAX(C6:C27)</f>
        <v>156.4</v>
      </c>
      <c r="D29" s="16">
        <f t="shared" si="1"/>
        <v>93.1</v>
      </c>
      <c r="E29" s="16">
        <f t="shared" si="1"/>
        <v>188.1</v>
      </c>
      <c r="F29" s="16">
        <f t="shared" si="1"/>
        <v>93.1</v>
      </c>
    </row>
    <row r="30" spans="1:6" ht="14.5" x14ac:dyDescent="0.35">
      <c r="A30" s="18" t="s">
        <v>84</v>
      </c>
      <c r="B30" s="16">
        <f>AVERAGE(B6:B27)</f>
        <v>20.827272727272728</v>
      </c>
      <c r="C30" s="16">
        <f t="shared" ref="C30:F30" si="2">AVERAGE(C6:C27)</f>
        <v>62.377272727272725</v>
      </c>
      <c r="D30" s="16">
        <f t="shared" si="2"/>
        <v>37.800000000000004</v>
      </c>
      <c r="E30" s="16">
        <f t="shared" si="2"/>
        <v>76.418181818181822</v>
      </c>
      <c r="F30" s="1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8" zoomScaleNormal="100" workbookViewId="0">
      <selection activeCell="B9" sqref="B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8" customFormat="1" ht="21" x14ac:dyDescent="0.5">
      <c r="A1" s="39" t="s">
        <v>56</v>
      </c>
      <c r="B1" s="38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0" t="s">
        <v>53</v>
      </c>
      <c r="B5" s="1" t="s">
        <v>179</v>
      </c>
    </row>
    <row r="6" spans="1:10" ht="18.5" x14ac:dyDescent="0.45">
      <c r="A6" s="40" t="s">
        <v>153</v>
      </c>
      <c r="B6" s="1" t="s">
        <v>180</v>
      </c>
    </row>
    <row r="7" spans="1:10" ht="18.5" x14ac:dyDescent="0.45">
      <c r="A7" s="40"/>
      <c r="B7" s="37"/>
    </row>
    <row r="8" spans="1:10" ht="20.5" customHeight="1" x14ac:dyDescent="0.45">
      <c r="B8" s="37"/>
      <c r="C8" s="37"/>
      <c r="D8" s="37"/>
      <c r="E8" s="37"/>
      <c r="F8" s="37"/>
      <c r="G8" s="37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0" sqref="D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9" t="s">
        <v>85</v>
      </c>
      <c r="B1" s="38" t="s">
        <v>167</v>
      </c>
    </row>
    <row r="2" spans="1:3" ht="18.5" x14ac:dyDescent="0.45">
      <c r="B2" s="37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181</v>
      </c>
    </row>
    <row r="7" spans="1:3" ht="14.5" x14ac:dyDescent="0.35">
      <c r="A7" s="3" t="s">
        <v>153</v>
      </c>
      <c r="B7" s="1" t="s">
        <v>182</v>
      </c>
    </row>
    <row r="10" spans="1:3" ht="23.5" x14ac:dyDescent="0.55000000000000004">
      <c r="A10" s="17" t="s">
        <v>162</v>
      </c>
    </row>
    <row r="11" spans="1:3" ht="14.5" x14ac:dyDescent="0.35">
      <c r="A11" s="30" t="s">
        <v>86</v>
      </c>
      <c r="B11" s="16" t="s">
        <v>87</v>
      </c>
      <c r="C11" s="16" t="s">
        <v>88</v>
      </c>
    </row>
    <row r="12" spans="1:3" ht="14.5" x14ac:dyDescent="0.35">
      <c r="A12" s="30">
        <v>44927</v>
      </c>
      <c r="B12" s="16" t="s">
        <v>59</v>
      </c>
      <c r="C12" s="16">
        <v>200</v>
      </c>
    </row>
    <row r="13" spans="1:3" ht="14.5" x14ac:dyDescent="0.35">
      <c r="A13" s="30">
        <v>44928</v>
      </c>
      <c r="B13" s="16" t="s">
        <v>60</v>
      </c>
      <c r="C13" s="16" t="e">
        <v>#N/A</v>
      </c>
    </row>
    <row r="14" spans="1:3" ht="14.5" x14ac:dyDescent="0.35">
      <c r="A14" s="30">
        <v>44929</v>
      </c>
      <c r="B14" s="16" t="s">
        <v>61</v>
      </c>
      <c r="C14" s="16">
        <v>50</v>
      </c>
    </row>
    <row r="15" spans="1:3" ht="14.5" x14ac:dyDescent="0.35">
      <c r="A15" s="30">
        <v>44930</v>
      </c>
      <c r="B15" s="16" t="s">
        <v>62</v>
      </c>
      <c r="C15" s="16" t="e">
        <v>#N/A</v>
      </c>
    </row>
    <row r="16" spans="1:3" ht="14.5" x14ac:dyDescent="0.35">
      <c r="A16" s="30">
        <v>44931</v>
      </c>
      <c r="B16" s="16" t="s">
        <v>63</v>
      </c>
      <c r="C16" s="16">
        <v>10</v>
      </c>
    </row>
    <row r="17" spans="1:3" ht="14.5" x14ac:dyDescent="0.35">
      <c r="A17" s="30">
        <v>44932</v>
      </c>
      <c r="B17" s="16" t="s">
        <v>154</v>
      </c>
      <c r="C17" s="16">
        <v>150</v>
      </c>
    </row>
    <row r="18" spans="1:3" ht="14.5" x14ac:dyDescent="0.35">
      <c r="A18" s="30">
        <v>44933</v>
      </c>
      <c r="B18" s="16" t="s">
        <v>155</v>
      </c>
      <c r="C18" s="16">
        <v>80</v>
      </c>
    </row>
    <row r="19" spans="1:3" ht="14.5" x14ac:dyDescent="0.35">
      <c r="A19" s="30">
        <v>44934</v>
      </c>
      <c r="B19" s="16" t="s">
        <v>156</v>
      </c>
      <c r="C19" s="16" t="e">
        <v>#N/A</v>
      </c>
    </row>
    <row r="20" spans="1:3" ht="14.5" x14ac:dyDescent="0.35">
      <c r="A20" s="30">
        <v>44935</v>
      </c>
      <c r="B20" s="16" t="s">
        <v>157</v>
      </c>
      <c r="C20" s="16">
        <v>30</v>
      </c>
    </row>
    <row r="21" spans="1:3" ht="14.5" x14ac:dyDescent="0.35">
      <c r="A21" s="30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E12" sqref="E12"/>
    </sheetView>
  </sheetViews>
  <sheetFormatPr defaultColWidth="11" defaultRowHeight="13" x14ac:dyDescent="0.3"/>
  <cols>
    <col min="1" max="1" width="28.19921875" style="2" bestFit="1" customWidth="1"/>
    <col min="2" max="4" width="11" style="2"/>
    <col min="5" max="6" width="15.8984375" style="2" bestFit="1" customWidth="1"/>
    <col min="7" max="16384" width="11" style="2"/>
  </cols>
  <sheetData>
    <row r="1" spans="1:14" ht="21" x14ac:dyDescent="0.5">
      <c r="A1" s="39" t="s">
        <v>98</v>
      </c>
      <c r="B1" s="38" t="s">
        <v>175</v>
      </c>
    </row>
    <row r="3" spans="1:14" ht="14.5" x14ac:dyDescent="0.35">
      <c r="B3" s="1" t="s">
        <v>151</v>
      </c>
    </row>
    <row r="4" spans="1:14" ht="18.5" x14ac:dyDescent="0.45">
      <c r="A4" s="40" t="s">
        <v>53</v>
      </c>
      <c r="B4" s="1"/>
      <c r="C4" s="41" t="s">
        <v>177</v>
      </c>
    </row>
    <row r="5" spans="1:14" ht="18.5" x14ac:dyDescent="0.45">
      <c r="A5" s="40" t="s">
        <v>153</v>
      </c>
      <c r="B5" s="1"/>
      <c r="C5" s="2" t="s">
        <v>185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  <c r="E22" s="2" t="s">
        <v>183</v>
      </c>
      <c r="F22" s="2" t="s">
        <v>184</v>
      </c>
    </row>
    <row r="23" spans="1:14" ht="14.5" x14ac:dyDescent="0.35">
      <c r="A23" s="7">
        <v>10100</v>
      </c>
      <c r="B23" s="11">
        <v>10102</v>
      </c>
      <c r="C23" s="2">
        <f>VLOOKUP(E23,$A$10:$J$18,MATCH(F23,$A$9:$J$9,0))</f>
        <v>95</v>
      </c>
      <c r="E23" s="2" t="str">
        <f>VLOOKUP(A23,$M$10:$N$18,2)</f>
        <v>A</v>
      </c>
      <c r="F23" s="2" t="str">
        <f>VLOOKUP(B23,$M$10:$N$18,2)</f>
        <v>B</v>
      </c>
    </row>
    <row r="24" spans="1:14" ht="14.5" x14ac:dyDescent="0.35">
      <c r="A24" s="7">
        <v>10100</v>
      </c>
      <c r="B24" s="11">
        <v>10104</v>
      </c>
      <c r="C24" s="2">
        <f t="shared" ref="C24:C35" si="0">VLOOKUP(E24,$A$10:$J$18,MATCH(F24,$A$9:$J$9,0))</f>
        <v>-1</v>
      </c>
      <c r="E24" s="2" t="str">
        <f t="shared" ref="E24:E35" si="1">VLOOKUP(A24,$M$10:$N$18,2)</f>
        <v>A</v>
      </c>
      <c r="F24" s="2" t="str">
        <f t="shared" ref="F24:F35" si="2">VLOOKUP(B24,$M$10:$N$18,2)</f>
        <v>C</v>
      </c>
    </row>
    <row r="25" spans="1:14" ht="14.5" x14ac:dyDescent="0.35">
      <c r="A25" s="7">
        <v>10108</v>
      </c>
      <c r="B25" s="11">
        <v>10102</v>
      </c>
      <c r="C25" s="2">
        <f t="shared" si="0"/>
        <v>160</v>
      </c>
      <c r="E25" s="2" t="str">
        <f t="shared" si="1"/>
        <v>E</v>
      </c>
      <c r="F25" s="2" t="str">
        <f t="shared" si="2"/>
        <v>B</v>
      </c>
    </row>
    <row r="26" spans="1:14" ht="14.5" x14ac:dyDescent="0.35">
      <c r="A26" s="7">
        <v>10100</v>
      </c>
      <c r="B26" s="11">
        <v>10106</v>
      </c>
      <c r="C26" s="2">
        <f t="shared" si="0"/>
        <v>185</v>
      </c>
      <c r="E26" s="2" t="str">
        <f t="shared" si="1"/>
        <v>A</v>
      </c>
      <c r="F26" s="2" t="str">
        <f t="shared" si="2"/>
        <v>D</v>
      </c>
    </row>
    <row r="27" spans="1:14" ht="14.5" x14ac:dyDescent="0.35">
      <c r="A27" s="7">
        <v>10108</v>
      </c>
      <c r="B27" s="11">
        <v>10110</v>
      </c>
      <c r="C27" s="2">
        <f t="shared" si="0"/>
        <v>50</v>
      </c>
      <c r="E27" s="2" t="str">
        <f t="shared" si="1"/>
        <v>E</v>
      </c>
      <c r="F27" s="2" t="str">
        <f t="shared" si="2"/>
        <v>F</v>
      </c>
    </row>
    <row r="28" spans="1:14" ht="14.5" x14ac:dyDescent="0.35">
      <c r="A28" s="7">
        <v>10102</v>
      </c>
      <c r="B28" s="11">
        <v>10104</v>
      </c>
      <c r="C28" s="2">
        <f t="shared" si="0"/>
        <v>-1</v>
      </c>
      <c r="E28" s="2" t="str">
        <f t="shared" si="1"/>
        <v>B</v>
      </c>
      <c r="F28" s="2" t="str">
        <f t="shared" si="2"/>
        <v>C</v>
      </c>
    </row>
    <row r="29" spans="1:14" ht="14.5" x14ac:dyDescent="0.35">
      <c r="A29" s="7">
        <v>10106</v>
      </c>
      <c r="B29" s="11">
        <v>10108</v>
      </c>
      <c r="C29" s="2">
        <f t="shared" si="0"/>
        <v>70</v>
      </c>
      <c r="E29" s="2" t="str">
        <f t="shared" si="1"/>
        <v>D</v>
      </c>
      <c r="F29" s="2" t="str">
        <f t="shared" si="2"/>
        <v>E</v>
      </c>
    </row>
    <row r="30" spans="1:14" ht="14.5" x14ac:dyDescent="0.35">
      <c r="A30" s="7">
        <v>10102</v>
      </c>
      <c r="B30" s="11">
        <v>10106</v>
      </c>
      <c r="C30" s="2">
        <f t="shared" si="0"/>
        <v>90</v>
      </c>
      <c r="E30" s="2" t="str">
        <f t="shared" si="1"/>
        <v>B</v>
      </c>
      <c r="F30" s="2" t="str">
        <f t="shared" si="2"/>
        <v>D</v>
      </c>
    </row>
    <row r="31" spans="1:14" ht="14.5" x14ac:dyDescent="0.35">
      <c r="A31" s="7">
        <v>10110</v>
      </c>
      <c r="B31" s="11">
        <v>10114</v>
      </c>
      <c r="C31" s="2">
        <f t="shared" si="0"/>
        <v>180</v>
      </c>
      <c r="E31" s="2" t="str">
        <f t="shared" si="1"/>
        <v>F</v>
      </c>
      <c r="F31" s="2" t="str">
        <f t="shared" si="2"/>
        <v>H</v>
      </c>
    </row>
    <row r="32" spans="1:14" ht="14.5" x14ac:dyDescent="0.35">
      <c r="A32" s="7">
        <v>10104</v>
      </c>
      <c r="B32" s="11">
        <v>10106</v>
      </c>
      <c r="C32" s="2">
        <f t="shared" si="0"/>
        <v>60</v>
      </c>
      <c r="E32" s="2" t="str">
        <f t="shared" si="1"/>
        <v>C</v>
      </c>
      <c r="F32" s="2" t="str">
        <f t="shared" si="2"/>
        <v>D</v>
      </c>
    </row>
    <row r="33" spans="1:6" ht="14.5" x14ac:dyDescent="0.35">
      <c r="A33" s="7">
        <v>10110</v>
      </c>
      <c r="B33" s="11">
        <v>10112</v>
      </c>
      <c r="C33" s="2">
        <f t="shared" si="0"/>
        <v>115</v>
      </c>
      <c r="E33" s="2" t="str">
        <f t="shared" si="1"/>
        <v>F</v>
      </c>
      <c r="F33" s="2" t="str">
        <f t="shared" si="2"/>
        <v>G</v>
      </c>
    </row>
    <row r="34" spans="1:6" ht="14.5" x14ac:dyDescent="0.35">
      <c r="A34" s="7">
        <v>10100</v>
      </c>
      <c r="B34" s="11">
        <v>10114</v>
      </c>
      <c r="C34" s="2">
        <f t="shared" si="0"/>
        <v>480</v>
      </c>
      <c r="E34" s="2" t="str">
        <f t="shared" si="1"/>
        <v>A</v>
      </c>
      <c r="F34" s="2" t="str">
        <f t="shared" si="2"/>
        <v>H</v>
      </c>
    </row>
    <row r="35" spans="1:6" ht="14.5" x14ac:dyDescent="0.35">
      <c r="A35" s="8">
        <v>10112</v>
      </c>
      <c r="B35" s="12">
        <v>10116</v>
      </c>
      <c r="C35" s="2">
        <f t="shared" si="0"/>
        <v>105</v>
      </c>
      <c r="E35" s="2" t="str">
        <f t="shared" si="1"/>
        <v>G</v>
      </c>
      <c r="F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2023-12-10T07:41:51Z</dcterms:modified>
</cp:coreProperties>
</file>